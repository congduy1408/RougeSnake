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ameProj\RougeSnake\"/>
    </mc:Choice>
  </mc:AlternateContent>
  <xr:revisionPtr revIDLastSave="0" documentId="13_ncr:1_{45BF9F30-50FC-43E1-A68E-6976A8A51428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Implementation Plan" sheetId="1" r:id="rId1"/>
    <sheet name="Dashboard" sheetId="2" r:id="rId2"/>
    <sheet name="Design Deci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<sst xmlns="http://schemas.openxmlformats.org/spreadsheetml/2006/main" count="288" uniqueCount="185">
  <si>
    <t>Phase</t>
  </si>
  <si>
    <t>Milestone</t>
  </si>
  <si>
    <t>Task / Deliverable</t>
  </si>
  <si>
    <t>Est. Days</t>
  </si>
  <si>
    <t>Status</t>
  </si>
  <si>
    <t>Priority</t>
  </si>
  <si>
    <t>Dependencies</t>
  </si>
  <si>
    <t>Completion %</t>
  </si>
  <si>
    <t>Notes</t>
  </si>
  <si>
    <t>Room Maker</t>
  </si>
  <si>
    <t>Finish and test Room Maker: draw, save, reopen, edit, validate JSON</t>
  </si>
  <si>
    <t>Not Started</t>
  </si>
  <si>
    <t>High</t>
  </si>
  <si>
    <t>-</t>
  </si>
  <si>
    <t>Create at least 3 test room templates</t>
  </si>
  <si>
    <t>Room Foundation</t>
  </si>
  <si>
    <t>Design and implement BoardCell + CellType representation</t>
  </si>
  <si>
    <t>Phase 0</t>
  </si>
  <si>
    <t>GROUND / WALL / GAP / ENTRANCE / DOOR</t>
  </si>
  <si>
    <t>Update Board to own/query the room grid</t>
  </si>
  <si>
    <t>BoardCell</t>
  </si>
  <si>
    <t>Board handles physical terrain queries</t>
  </si>
  <si>
    <t>Room Loading</t>
  </si>
  <si>
    <t>Implement Room / RoomTemplate JSON loading</t>
  </si>
  <si>
    <t>Phase 1</t>
  </si>
  <si>
    <t>Read sparse layered JSON</t>
  </si>
  <si>
    <t>Resolve higher-layer terrain overwrite and generic object markers</t>
  </si>
  <si>
    <t>JSON loader</t>
  </si>
  <si>
    <t>Different categories may coexist</t>
  </si>
  <si>
    <t>Room Transition</t>
  </si>
  <si>
    <t>Derive entrance/door direction from boundary position</t>
  </si>
  <si>
    <t>Phase 2</t>
  </si>
  <si>
    <t>No stored direction metadata</t>
  </si>
  <si>
    <t>Spawn snake inward from entrance with correct direction</t>
  </si>
  <si>
    <t>Entrance loading</t>
  </si>
  <si>
    <t>No explicit spawn marker</t>
  </si>
  <si>
    <t>Choose compatible next room and integrate existing stage-change flow</t>
  </si>
  <si>
    <t>Door direction</t>
  </si>
  <si>
    <t>Exit RIGHT -&gt; next LEFT entrance, etc.</t>
  </si>
  <si>
    <t>Terrain Playtest</t>
  </si>
  <si>
    <t>Implement/test wall, ground, gap, entrance and door behavior</t>
  </si>
  <si>
    <t>Phase 3</t>
  </si>
  <si>
    <t>Gap is instant death; entrance behaves like wall</t>
  </si>
  <si>
    <t>Playtest full-floor, gap and one-tile bridge room templates</t>
  </si>
  <si>
    <t>Terrain behavior</t>
  </si>
  <si>
    <t>Verify room traversal before combat</t>
  </si>
  <si>
    <t>Snake Damage</t>
  </si>
  <si>
    <t>Add per-body-node HP</t>
  </si>
  <si>
    <t>Rooms stable</t>
  </si>
  <si>
    <t>Default/easy 3 HP; difficulty may reduce later</t>
  </si>
  <si>
    <t>Implement explicit attack damage to body nodes</t>
  </si>
  <si>
    <t>Node HP</t>
  </si>
  <si>
    <t>Ordinary collision causes no combat damage</t>
  </si>
  <si>
    <t>Cut destroyed node and all nodes behind it</t>
  </si>
  <si>
    <t>Node damage</t>
  </si>
  <si>
    <t>Reuse/adapt existing TailCut logic</t>
  </si>
  <si>
    <t>Implement minimum survival length = 3</t>
  </si>
  <si>
    <t>Tail cut</t>
  </si>
  <si>
    <t>Damaging hit at length 3 kills player</t>
  </si>
  <si>
    <t>Food</t>
  </si>
  <si>
    <t>Repair damaged nodes nearest-to-head before growth</t>
  </si>
  <si>
    <t>Medium</t>
  </si>
  <si>
    <t>Phase 5</t>
  </si>
  <si>
    <t>Default food fully repairs one damaged node</t>
  </si>
  <si>
    <t>Grow snake only when no damaged nodes remain</t>
  </si>
  <si>
    <t>Food repair</t>
  </si>
  <si>
    <t>Playtest repair/growth loop</t>
  </si>
  <si>
    <t>Combat Foundation</t>
  </si>
  <si>
    <t>Design generic attack representation / hit region</t>
  </si>
  <si>
    <t>Snake damage</t>
  </si>
  <si>
    <t>Architecture review before implementation</t>
  </si>
  <si>
    <t>Implement player Attack button + one weapon</t>
  </si>
  <si>
    <t>Attack representation</t>
  </si>
  <si>
    <t>Snake keeps moving during attack</t>
  </si>
  <si>
    <t>Implement Spell button / generic spell hook</t>
  </si>
  <si>
    <t>Foundation only; one simple spell is enough</t>
  </si>
  <si>
    <t>Enemy Foundation</t>
  </si>
  <si>
    <t>Implement one basic enemy using grid/top-down movement</t>
  </si>
  <si>
    <t>Combat foundation</t>
  </si>
  <si>
    <t>Start with one simple enemy</t>
  </si>
  <si>
    <t>Implement explicit enemy attack region against snake nodes</t>
  </si>
  <si>
    <t>Basic enemy</t>
  </si>
  <si>
    <t>No contact damage</t>
  </si>
  <si>
    <t>Playtest player ↔ enemy combat in rooms</t>
  </si>
  <si>
    <t>Enemy attack</t>
  </si>
  <si>
    <t>Validate both damage directions</t>
  </si>
  <si>
    <t>Wrap Attack V1</t>
  </si>
  <si>
    <t>Track snake cell occupancy including overlapping nodes</t>
  </si>
  <si>
    <t>Movement stable</t>
  </si>
  <si>
    <t>Occupancy should be count-based</t>
  </si>
  <si>
    <t>Flood-fill exterior and determine enclosed cells</t>
  </si>
  <si>
    <t>Occupancy</t>
  </si>
  <si>
    <t>Snake cells act as blocked walls</t>
  </si>
  <si>
    <t>Compare enclosedBefore vs enclosedAfter for newly enclosed area</t>
  </si>
  <si>
    <t>Flood fill</t>
  </si>
  <si>
    <t>Avoid repeated wrap damage</t>
  </si>
  <si>
    <t>Validate full enemy footprint inside new wrap area</t>
  </si>
  <si>
    <t>New wrap area</t>
  </si>
  <si>
    <t>Partial enclosure does not count</t>
  </si>
  <si>
    <t>Apply one-time damage + stun and stress-test edge cases</t>
  </si>
  <si>
    <t>Wrap validation</t>
  </si>
  <si>
    <t>Test coils, overlap, gaps, bridges, multiple regions</t>
  </si>
  <si>
    <t>Cypherrush Progression</t>
  </si>
  <si>
    <t>Implement generic item/cipher collection foundation</t>
  </si>
  <si>
    <t>Combat stable</t>
  </si>
  <si>
    <t>Cipher validation is order-independent</t>
  </si>
  <si>
    <t>Implement cipher inventory matching including duplicate letters</t>
  </si>
  <si>
    <t>Cipher items</t>
  </si>
  <si>
    <t>Treat required letters/items as a multiset</t>
  </si>
  <si>
    <t>Implement Guardian Door / Boss Door gating foundation</t>
  </si>
  <si>
    <t>Cipher matching</t>
  </si>
  <si>
    <t>Final boss door requires complete cipher</t>
  </si>
  <si>
    <t>Test basic run progression from rooms to cipher gate</t>
  </si>
  <si>
    <t>Door gating</t>
  </si>
  <si>
    <t>No merchant/full story/final boss yet</t>
  </si>
  <si>
    <t>Integration</t>
  </si>
  <si>
    <t>Full integration playtest</t>
  </si>
  <si>
    <t>Phases 0–10</t>
  </si>
  <si>
    <t>Run through complete foundation loop</t>
  </si>
  <si>
    <t>Refactor only issues exposed by implementation/playtesting</t>
  </si>
  <si>
    <t>Integration test</t>
  </si>
  <si>
    <t>Avoid speculative architecture changes</t>
  </si>
  <si>
    <t>Lock first playable merged foundation milestone</t>
  </si>
  <si>
    <t>Integration stable</t>
  </si>
  <si>
    <t>Ready for content expansion</t>
  </si>
  <si>
    <t>Rouge Snake × Cypherrush Implementation Tracker</t>
  </si>
  <si>
    <t>Metric</t>
  </si>
  <si>
    <t>Value</t>
  </si>
  <si>
    <t>Target</t>
  </si>
  <si>
    <t>Total tasks</t>
  </si>
  <si>
    <t>Tool JSON round-trip ready</t>
  </si>
  <si>
    <t>Estimated development days</t>
  </si>
  <si>
    <t>BoardCell + Board ready</t>
  </si>
  <si>
    <t>Completed tasks</t>
  </si>
  <si>
    <t>JSON rooms load correctly</t>
  </si>
  <si>
    <t>Overall completion</t>
  </si>
  <si>
    <t>Room-to-room traversal</t>
  </si>
  <si>
    <t>Stable room gameplay</t>
  </si>
  <si>
    <t>Body-node HP/tail damage</t>
  </si>
  <si>
    <t>Repair/growth loop</t>
  </si>
  <si>
    <t>Player weapon/spell foundation</t>
  </si>
  <si>
    <t>Basic two-way combat</t>
  </si>
  <si>
    <t>Flood-fill wrap playable</t>
  </si>
  <si>
    <t>Cipher/gating skeleton</t>
  </si>
  <si>
    <t>First merged playable milestone</t>
  </si>
  <si>
    <t>Area</t>
  </si>
  <si>
    <t>Locked Decision</t>
  </si>
  <si>
    <t>Room files</t>
  </si>
  <si>
    <t>One JSON format is used by both Room Maker and the C++ game.</t>
  </si>
  <si>
    <t>Room generation</t>
  </si>
  <si>
    <t>Use fixed validated room templates rather than arbitrary runtime geometry generation.</t>
  </si>
  <si>
    <t>Layers</t>
  </si>
  <si>
    <t>Editor JSON remains layered; Board represents only resolved permanent terrain.</t>
  </si>
  <si>
    <t>Layer conflicts</t>
  </si>
  <si>
    <t>Higher layer index overwrites lower layer for competing terrain at the same cell.</t>
  </si>
  <si>
    <t>Coexistence</t>
  </si>
  <si>
    <t>Different categories such as terrain + enemy/item/decoration may coexist at one grid position.</t>
  </si>
  <si>
    <t>Brush identifiers</t>
  </si>
  <si>
    <t>Use generic lowercase names such as ground, wall, gap, entrance, door, enemy, item.</t>
  </si>
  <si>
    <t>Entrance/exits</t>
  </si>
  <si>
    <t>Normal rooms have exactly 1 entrance and 1–3 one-cell exits on the boundary.</t>
  </si>
  <si>
    <t>Spawn</t>
  </si>
  <si>
    <t>Player spawn/direction is derived from entrance; no explicit spawn marker.</t>
  </si>
  <si>
    <t>Gap</t>
  </si>
  <si>
    <t>Entering a gap causes instant death.</t>
  </si>
  <si>
    <t>Self collision</t>
  </si>
  <si>
    <t>Snake may freely overlap/cross its own body; self-contact causes no damage.</t>
  </si>
  <si>
    <t>Combat damage</t>
  </si>
  <si>
    <t>Damage only comes from explicit attack regions/effects, not ordinary contact.</t>
  </si>
  <si>
    <t>Body HP</t>
  </si>
  <si>
    <t>Each snake body node has HP; default/easy baseline is 3 HP.</t>
  </si>
  <si>
    <t>Tail damage</t>
  </si>
  <si>
    <t>Destroyed node and everything behind it are cut off.</t>
  </si>
  <si>
    <t>Minimum length</t>
  </si>
  <si>
    <t>At length 3, another damaging hit kills the player.</t>
  </si>
  <si>
    <t>Food repairs damaged nodes nearest-to-head before growing the snake.</t>
  </si>
  <si>
    <t>Wrap</t>
  </si>
  <si>
    <t>Newly enclosed area is found using flood-fill; successful wrap deals one-time damage + stun.</t>
  </si>
  <si>
    <t>Wrap enemy test</t>
  </si>
  <si>
    <t>Enemy's complete occupied footprint must be inside the newly enclosed area.</t>
  </si>
  <si>
    <t>Cipher</t>
  </si>
  <si>
    <t>Cipher matching is order-independent and must handle duplicate required letters.</t>
  </si>
  <si>
    <t>Development workflow</t>
  </si>
  <si>
    <t>Discuss architecture → user implements C++ → review uploaded source → playtest → lock feature.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</si>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</sst>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3" fillId="3" borderId="0" xfId="0" applyFont="1" applyFill="1" applyAlignment="1">
      <alignment wrapText="1"/>
    </xf>
    <xf numFmtId="9" fontId="0" fillId="0" borderId="0" xfId="0" applyNumberFormat="1" applyAlignment="1">
      <alignment wrapText="1"/>
    </xf>
    <xf numFmtId="0" fontId="3" fillId="3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bgColor rgb="FFD9EAF7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Estimated Days by Milestone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Dashboard!$E$4:$E$15</c:f>
              <c:strCache>
                <c:ptCount val="12"/>
                <c:pt idx="0">
                  <c:v>Room Maker</c:v>
                </c:pt>
                <c:pt idx="1">
                  <c:v>Room Foundation</c:v>
                </c:pt>
                <c:pt idx="2">
                  <c:v>Room Loading</c:v>
                </c:pt>
                <c:pt idx="3">
                  <c:v>Room Transition</c:v>
                </c:pt>
                <c:pt idx="4">
                  <c:v>Terrain Playtest</c:v>
                </c:pt>
                <c:pt idx="5">
                  <c:v>Snake Damage</c:v>
                </c:pt>
                <c:pt idx="6">
                  <c:v>Food</c:v>
                </c:pt>
                <c:pt idx="7">
                  <c:v>Combat Foundation</c:v>
                </c:pt>
                <c:pt idx="8">
                  <c:v>Enemy Foundation</c:v>
                </c:pt>
                <c:pt idx="9">
                  <c:v>Wrap Attack V1</c:v>
                </c:pt>
                <c:pt idx="10">
                  <c:v>Cypherrush Progression</c:v>
                </c:pt>
                <c:pt idx="11">
                  <c:v>Integration</c:v>
                </c:pt>
              </c:strCache>
            </c:strRef>
          </c:cat>
          <c:val>
            <c:numRef>
              <c:f>Dashboard!$F$4:$F$15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4-4E47-B17B-2EC54E932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lementationTasks" displayName="ImplementationTasks" ref="A1:I35" totalsRowShown="0">
  <tableColumns count="9">
    <tableColumn id="1" xr3:uid="{00000000-0010-0000-0000-000001000000}" name="Phase"/>
    <tableColumn id="2" xr3:uid="{00000000-0010-0000-0000-000002000000}" name="Milestone"/>
    <tableColumn id="3" xr3:uid="{00000000-0010-0000-0000-000003000000}" name="Task / Deliverable"/>
    <tableColumn id="4" xr3:uid="{00000000-0010-0000-0000-000004000000}" name="Est. Days"/>
    <tableColumn id="5" xr3:uid="{00000000-0010-0000-0000-000005000000}" name="Status"/>
    <tableColumn id="6" xr3:uid="{00000000-0010-0000-0000-000006000000}" name="Priority"/>
    <tableColumn id="7" xr3:uid="{00000000-0010-0000-0000-000007000000}" name="Dependencies"/>
    <tableColumn id="8" xr3:uid="{00000000-0010-0000-0000-000008000000}" name="Completion %"/>
    <tableColumn id="9" xr3:uid="{00000000-0010-0000-0000-00000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ignDecisions" displayName="DesignDecisions" ref="A1:B20" totalsRowShown="0">
  <tableColumns count="2">
    <tableColumn id="1" xr3:uid="{00000000-0010-0000-0100-000001000000}" name="Area"/>
    <tableColumn id="2" xr3:uid="{00000000-0010-0000-0100-000002000000}" name="Locked 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9" sqref="A9:C9"/>
    </sheetView>
  </sheetViews>
  <sheetFormatPr defaultRowHeight="15" x14ac:dyDescent="0.25"/>
  <cols>
    <col min="1" max="1" width="8" customWidth="1"/>
    <col min="2" max="2" width="22" customWidth="1"/>
    <col min="3" max="3" width="48" customWidth="1"/>
    <col min="4" max="4" width="10" customWidth="1"/>
    <col min="5" max="5" width="16" customWidth="1"/>
    <col min="6" max="6" width="12" customWidth="1"/>
    <col min="7" max="7" width="22" customWidth="1"/>
    <col min="8" max="8" width="14" customWidth="1"/>
    <col min="9" max="9" width="42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4">
        <v>0</v>
      </c>
      <c r="B2" s="4" t="s">
        <v>9</v>
      </c>
      <c r="C2" s="4" t="s">
        <v>10</v>
      </c>
      <c r="D2" s="5">
        <v>2</v>
      </c>
      <c r="E2" s="4" t="s">
        <v>184</v>
      </c>
      <c r="F2" s="4" t="s">
        <v>12</v>
      </c>
      <c r="G2" s="4" t="s">
        <v>13</v>
      </c>
      <c r="H2" s="6">
        <v>1</v>
      </c>
      <c r="I2" s="4" t="s">
        <v>14</v>
      </c>
    </row>
    <row r="3" spans="1:9" x14ac:dyDescent="0.25">
      <c r="A3" s="4">
        <v>1</v>
      </c>
      <c r="B3" s="4" t="s">
        <v>15</v>
      </c>
      <c r="C3" s="4" t="s">
        <v>16</v>
      </c>
      <c r="D3" s="5">
        <v>2</v>
      </c>
      <c r="E3" s="4" t="s">
        <v>184</v>
      </c>
      <c r="F3" s="4" t="s">
        <v>12</v>
      </c>
      <c r="G3" s="4" t="s">
        <v>17</v>
      </c>
      <c r="H3" s="6">
        <v>0</v>
      </c>
      <c r="I3" s="4" t="s">
        <v>18</v>
      </c>
    </row>
    <row r="4" spans="1:9" x14ac:dyDescent="0.25">
      <c r="A4" s="4">
        <v>1</v>
      </c>
      <c r="B4" s="4" t="s">
        <v>15</v>
      </c>
      <c r="C4" s="4" t="s">
        <v>19</v>
      </c>
      <c r="D4" s="5">
        <v>2</v>
      </c>
      <c r="E4" s="4" t="s">
        <v>184</v>
      </c>
      <c r="F4" s="4" t="s">
        <v>12</v>
      </c>
      <c r="G4" s="4" t="s">
        <v>20</v>
      </c>
      <c r="H4" s="6">
        <v>0</v>
      </c>
      <c r="I4" s="4" t="s">
        <v>21</v>
      </c>
    </row>
    <row r="5" spans="1:9" x14ac:dyDescent="0.25">
      <c r="A5" s="4">
        <v>2</v>
      </c>
      <c r="B5" s="4" t="s">
        <v>22</v>
      </c>
      <c r="C5" s="4" t="s">
        <v>23</v>
      </c>
      <c r="D5" s="5">
        <v>3</v>
      </c>
      <c r="E5" s="4" t="s">
        <v>184</v>
      </c>
      <c r="F5" s="4" t="s">
        <v>12</v>
      </c>
      <c r="G5" s="4" t="s">
        <v>24</v>
      </c>
      <c r="H5" s="6">
        <v>0</v>
      </c>
      <c r="I5" s="4" t="s">
        <v>25</v>
      </c>
    </row>
    <row r="6" spans="1:9" ht="30" x14ac:dyDescent="0.25">
      <c r="A6" s="4">
        <v>2</v>
      </c>
      <c r="B6" s="4" t="s">
        <v>22</v>
      </c>
      <c r="C6" s="4" t="s">
        <v>26</v>
      </c>
      <c r="D6" s="5">
        <v>1</v>
      </c>
      <c r="E6" s="4" t="s">
        <v>184</v>
      </c>
      <c r="F6" s="4" t="s">
        <v>12</v>
      </c>
      <c r="G6" s="4" t="s">
        <v>27</v>
      </c>
      <c r="H6" s="6">
        <v>0</v>
      </c>
      <c r="I6" s="4" t="s">
        <v>28</v>
      </c>
    </row>
    <row r="7" spans="1:9" x14ac:dyDescent="0.25">
      <c r="A7" s="4">
        <v>3</v>
      </c>
      <c r="B7" s="4" t="s">
        <v>29</v>
      </c>
      <c r="C7" s="4" t="s">
        <v>30</v>
      </c>
      <c r="D7" s="5">
        <v>1</v>
      </c>
      <c r="E7" s="4" t="s">
        <v>184</v>
      </c>
      <c r="F7" s="4" t="s">
        <v>12</v>
      </c>
      <c r="G7" s="4" t="s">
        <v>31</v>
      </c>
      <c r="H7" s="6">
        <v>0</v>
      </c>
      <c r="I7" s="4" t="s">
        <v>32</v>
      </c>
    </row>
    <row r="8" spans="1:9" x14ac:dyDescent="0.25">
      <c r="A8" s="4">
        <v>3</v>
      </c>
      <c r="B8" s="4" t="s">
        <v>29</v>
      </c>
      <c r="C8" s="4" t="s">
        <v>33</v>
      </c>
      <c r="D8" s="5">
        <v>1</v>
      </c>
      <c r="E8" s="4" t="s">
        <v>184</v>
      </c>
      <c r="F8" s="4" t="s">
        <v>12</v>
      </c>
      <c r="G8" s="4" t="s">
        <v>34</v>
      </c>
      <c r="H8" s="6">
        <v>0</v>
      </c>
      <c r="I8" s="4" t="s">
        <v>35</v>
      </c>
    </row>
    <row r="9" spans="1:9" ht="30" x14ac:dyDescent="0.25">
      <c r="A9" s="4">
        <v>3</v>
      </c>
      <c r="B9" s="4" t="s">
        <v>29</v>
      </c>
      <c r="C9" s="4" t="s">
        <v>36</v>
      </c>
      <c r="D9" s="5">
        <v>2</v>
      </c>
      <c r="E9" s="4" t="s">
        <v>11</v>
      </c>
      <c r="F9" s="4" t="s">
        <v>12</v>
      </c>
      <c r="G9" s="4" t="s">
        <v>37</v>
      </c>
      <c r="H9" s="6">
        <v>0</v>
      </c>
      <c r="I9" s="4" t="s">
        <v>38</v>
      </c>
    </row>
    <row r="10" spans="1:9" ht="30" x14ac:dyDescent="0.25">
      <c r="A10" s="4">
        <v>4</v>
      </c>
      <c r="B10" s="4" t="s">
        <v>39</v>
      </c>
      <c r="C10" s="4" t="s">
        <v>40</v>
      </c>
      <c r="D10" s="5">
        <v>2</v>
      </c>
      <c r="E10" s="4" t="s">
        <v>11</v>
      </c>
      <c r="F10" s="4" t="s">
        <v>12</v>
      </c>
      <c r="G10" s="4" t="s">
        <v>41</v>
      </c>
      <c r="H10" s="6">
        <v>0</v>
      </c>
      <c r="I10" s="4" t="s">
        <v>42</v>
      </c>
    </row>
    <row r="11" spans="1:9" x14ac:dyDescent="0.25">
      <c r="A11" s="4">
        <v>4</v>
      </c>
      <c r="B11" s="4" t="s">
        <v>39</v>
      </c>
      <c r="C11" s="4" t="s">
        <v>43</v>
      </c>
      <c r="D11" s="5">
        <v>1</v>
      </c>
      <c r="E11" s="4" t="s">
        <v>11</v>
      </c>
      <c r="F11" s="4" t="s">
        <v>12</v>
      </c>
      <c r="G11" s="4" t="s">
        <v>44</v>
      </c>
      <c r="H11" s="6">
        <v>0</v>
      </c>
      <c r="I11" s="4" t="s">
        <v>45</v>
      </c>
    </row>
    <row r="12" spans="1:9" x14ac:dyDescent="0.25">
      <c r="A12" s="4">
        <v>5</v>
      </c>
      <c r="B12" s="4" t="s">
        <v>46</v>
      </c>
      <c r="C12" s="4" t="s">
        <v>47</v>
      </c>
      <c r="D12" s="5">
        <v>2</v>
      </c>
      <c r="E12" s="4" t="s">
        <v>11</v>
      </c>
      <c r="F12" s="4" t="s">
        <v>12</v>
      </c>
      <c r="G12" s="4" t="s">
        <v>48</v>
      </c>
      <c r="H12" s="6">
        <v>0</v>
      </c>
      <c r="I12" s="4" t="s">
        <v>49</v>
      </c>
    </row>
    <row r="13" spans="1:9" x14ac:dyDescent="0.25">
      <c r="A13" s="4">
        <v>5</v>
      </c>
      <c r="B13" s="4" t="s">
        <v>46</v>
      </c>
      <c r="C13" s="4" t="s">
        <v>50</v>
      </c>
      <c r="D13" s="5">
        <v>1</v>
      </c>
      <c r="E13" s="4" t="s">
        <v>11</v>
      </c>
      <c r="F13" s="4" t="s">
        <v>12</v>
      </c>
      <c r="G13" s="4" t="s">
        <v>51</v>
      </c>
      <c r="H13" s="6">
        <v>0</v>
      </c>
      <c r="I13" s="4" t="s">
        <v>52</v>
      </c>
    </row>
    <row r="14" spans="1:9" x14ac:dyDescent="0.25">
      <c r="A14" s="4">
        <v>5</v>
      </c>
      <c r="B14" s="4" t="s">
        <v>46</v>
      </c>
      <c r="C14" s="4" t="s">
        <v>53</v>
      </c>
      <c r="D14" s="5">
        <v>1</v>
      </c>
      <c r="E14" s="4" t="s">
        <v>11</v>
      </c>
      <c r="F14" s="4" t="s">
        <v>12</v>
      </c>
      <c r="G14" s="4" t="s">
        <v>54</v>
      </c>
      <c r="H14" s="6">
        <v>0</v>
      </c>
      <c r="I14" s="4" t="s">
        <v>55</v>
      </c>
    </row>
    <row r="15" spans="1:9" x14ac:dyDescent="0.25">
      <c r="A15" s="4">
        <v>5</v>
      </c>
      <c r="B15" s="4" t="s">
        <v>46</v>
      </c>
      <c r="C15" s="4" t="s">
        <v>56</v>
      </c>
      <c r="D15" s="5">
        <v>1</v>
      </c>
      <c r="E15" s="4" t="s">
        <v>11</v>
      </c>
      <c r="F15" s="4" t="s">
        <v>12</v>
      </c>
      <c r="G15" s="4" t="s">
        <v>57</v>
      </c>
      <c r="H15" s="6">
        <v>0</v>
      </c>
      <c r="I15" s="4" t="s">
        <v>58</v>
      </c>
    </row>
    <row r="16" spans="1:9" x14ac:dyDescent="0.25">
      <c r="A16" s="4">
        <v>6</v>
      </c>
      <c r="B16" s="4" t="s">
        <v>59</v>
      </c>
      <c r="C16" s="4" t="s">
        <v>60</v>
      </c>
      <c r="D16" s="5">
        <v>1</v>
      </c>
      <c r="E16" s="4" t="s">
        <v>11</v>
      </c>
      <c r="F16" s="4" t="s">
        <v>61</v>
      </c>
      <c r="G16" s="4" t="s">
        <v>62</v>
      </c>
      <c r="H16" s="6">
        <v>0</v>
      </c>
      <c r="I16" s="4" t="s">
        <v>63</v>
      </c>
    </row>
    <row r="17" spans="1:9" x14ac:dyDescent="0.25">
      <c r="A17" s="4">
        <v>6</v>
      </c>
      <c r="B17" s="4" t="s">
        <v>59</v>
      </c>
      <c r="C17" s="4" t="s">
        <v>64</v>
      </c>
      <c r="D17" s="5">
        <v>1</v>
      </c>
      <c r="E17" s="4" t="s">
        <v>11</v>
      </c>
      <c r="F17" s="4" t="s">
        <v>61</v>
      </c>
      <c r="G17" s="4" t="s">
        <v>65</v>
      </c>
      <c r="H17" s="6">
        <v>0</v>
      </c>
      <c r="I17" s="4" t="s">
        <v>66</v>
      </c>
    </row>
    <row r="18" spans="1:9" x14ac:dyDescent="0.25">
      <c r="A18" s="4">
        <v>7</v>
      </c>
      <c r="B18" s="4" t="s">
        <v>67</v>
      </c>
      <c r="C18" s="4" t="s">
        <v>68</v>
      </c>
      <c r="D18" s="5">
        <v>2</v>
      </c>
      <c r="E18" s="4" t="s">
        <v>11</v>
      </c>
      <c r="F18" s="4" t="s">
        <v>12</v>
      </c>
      <c r="G18" s="4" t="s">
        <v>69</v>
      </c>
      <c r="H18" s="6">
        <v>0</v>
      </c>
      <c r="I18" s="4" t="s">
        <v>70</v>
      </c>
    </row>
    <row r="19" spans="1:9" x14ac:dyDescent="0.25">
      <c r="A19" s="4">
        <v>7</v>
      </c>
      <c r="B19" s="4" t="s">
        <v>67</v>
      </c>
      <c r="C19" s="4" t="s">
        <v>71</v>
      </c>
      <c r="D19" s="5">
        <v>2</v>
      </c>
      <c r="E19" s="4" t="s">
        <v>11</v>
      </c>
      <c r="F19" s="4" t="s">
        <v>12</v>
      </c>
      <c r="G19" s="4" t="s">
        <v>72</v>
      </c>
      <c r="H19" s="6">
        <v>0</v>
      </c>
      <c r="I19" s="4" t="s">
        <v>73</v>
      </c>
    </row>
    <row r="20" spans="1:9" x14ac:dyDescent="0.25">
      <c r="A20" s="4">
        <v>7</v>
      </c>
      <c r="B20" s="4" t="s">
        <v>67</v>
      </c>
      <c r="C20" s="4" t="s">
        <v>74</v>
      </c>
      <c r="D20" s="5">
        <v>2</v>
      </c>
      <c r="E20" s="4" t="s">
        <v>11</v>
      </c>
      <c r="F20" s="4" t="s">
        <v>61</v>
      </c>
      <c r="G20" s="4" t="s">
        <v>72</v>
      </c>
      <c r="H20" s="6">
        <v>0</v>
      </c>
      <c r="I20" s="4" t="s">
        <v>75</v>
      </c>
    </row>
    <row r="21" spans="1:9" x14ac:dyDescent="0.25">
      <c r="A21" s="4">
        <v>8</v>
      </c>
      <c r="B21" s="4" t="s">
        <v>76</v>
      </c>
      <c r="C21" s="4" t="s">
        <v>77</v>
      </c>
      <c r="D21" s="5">
        <v>2</v>
      </c>
      <c r="E21" s="4" t="s">
        <v>11</v>
      </c>
      <c r="F21" s="4" t="s">
        <v>12</v>
      </c>
      <c r="G21" s="4" t="s">
        <v>78</v>
      </c>
      <c r="H21" s="6">
        <v>0</v>
      </c>
      <c r="I21" s="4" t="s">
        <v>79</v>
      </c>
    </row>
    <row r="22" spans="1:9" x14ac:dyDescent="0.25">
      <c r="A22" s="4">
        <v>8</v>
      </c>
      <c r="B22" s="4" t="s">
        <v>76</v>
      </c>
      <c r="C22" s="4" t="s">
        <v>80</v>
      </c>
      <c r="D22" s="5">
        <v>2</v>
      </c>
      <c r="E22" s="4" t="s">
        <v>11</v>
      </c>
      <c r="F22" s="4" t="s">
        <v>12</v>
      </c>
      <c r="G22" s="4" t="s">
        <v>81</v>
      </c>
      <c r="H22" s="6">
        <v>0</v>
      </c>
      <c r="I22" s="4" t="s">
        <v>82</v>
      </c>
    </row>
    <row r="23" spans="1:9" x14ac:dyDescent="0.25">
      <c r="A23" s="4">
        <v>8</v>
      </c>
      <c r="B23" s="4" t="s">
        <v>76</v>
      </c>
      <c r="C23" s="4" t="s">
        <v>83</v>
      </c>
      <c r="D23" s="5">
        <v>1</v>
      </c>
      <c r="E23" s="4" t="s">
        <v>11</v>
      </c>
      <c r="F23" s="4" t="s">
        <v>12</v>
      </c>
      <c r="G23" s="4" t="s">
        <v>84</v>
      </c>
      <c r="H23" s="6">
        <v>0</v>
      </c>
      <c r="I23" s="4" t="s">
        <v>85</v>
      </c>
    </row>
    <row r="24" spans="1:9" x14ac:dyDescent="0.25">
      <c r="A24" s="4">
        <v>9</v>
      </c>
      <c r="B24" s="4" t="s">
        <v>86</v>
      </c>
      <c r="C24" s="4" t="s">
        <v>87</v>
      </c>
      <c r="D24" s="5">
        <v>1</v>
      </c>
      <c r="E24" s="4" t="s">
        <v>11</v>
      </c>
      <c r="F24" s="4" t="s">
        <v>12</v>
      </c>
      <c r="G24" s="4" t="s">
        <v>88</v>
      </c>
      <c r="H24" s="6">
        <v>0</v>
      </c>
      <c r="I24" s="4" t="s">
        <v>89</v>
      </c>
    </row>
    <row r="25" spans="1:9" x14ac:dyDescent="0.25">
      <c r="A25" s="4">
        <v>9</v>
      </c>
      <c r="B25" s="4" t="s">
        <v>86</v>
      </c>
      <c r="C25" s="4" t="s">
        <v>90</v>
      </c>
      <c r="D25" s="5">
        <v>2</v>
      </c>
      <c r="E25" s="4" t="s">
        <v>11</v>
      </c>
      <c r="F25" s="4" t="s">
        <v>12</v>
      </c>
      <c r="G25" s="4" t="s">
        <v>91</v>
      </c>
      <c r="H25" s="6">
        <v>0</v>
      </c>
      <c r="I25" s="4" t="s">
        <v>92</v>
      </c>
    </row>
    <row r="26" spans="1:9" ht="30" x14ac:dyDescent="0.25">
      <c r="A26" s="4">
        <v>9</v>
      </c>
      <c r="B26" s="4" t="s">
        <v>86</v>
      </c>
      <c r="C26" s="4" t="s">
        <v>93</v>
      </c>
      <c r="D26" s="5">
        <v>1</v>
      </c>
      <c r="E26" s="4" t="s">
        <v>11</v>
      </c>
      <c r="F26" s="4" t="s">
        <v>12</v>
      </c>
      <c r="G26" s="4" t="s">
        <v>94</v>
      </c>
      <c r="H26" s="6">
        <v>0</v>
      </c>
      <c r="I26" s="4" t="s">
        <v>95</v>
      </c>
    </row>
    <row r="27" spans="1:9" x14ac:dyDescent="0.25">
      <c r="A27" s="4">
        <v>9</v>
      </c>
      <c r="B27" s="4" t="s">
        <v>86</v>
      </c>
      <c r="C27" s="4" t="s">
        <v>96</v>
      </c>
      <c r="D27" s="5">
        <v>1</v>
      </c>
      <c r="E27" s="4" t="s">
        <v>11</v>
      </c>
      <c r="F27" s="4" t="s">
        <v>12</v>
      </c>
      <c r="G27" s="4" t="s">
        <v>97</v>
      </c>
      <c r="H27" s="6">
        <v>0</v>
      </c>
      <c r="I27" s="4" t="s">
        <v>98</v>
      </c>
    </row>
    <row r="28" spans="1:9" x14ac:dyDescent="0.25">
      <c r="A28" s="4">
        <v>9</v>
      </c>
      <c r="B28" s="4" t="s">
        <v>86</v>
      </c>
      <c r="C28" s="4" t="s">
        <v>99</v>
      </c>
      <c r="D28" s="5">
        <v>2</v>
      </c>
      <c r="E28" s="4" t="s">
        <v>11</v>
      </c>
      <c r="F28" s="4" t="s">
        <v>12</v>
      </c>
      <c r="G28" s="4" t="s">
        <v>100</v>
      </c>
      <c r="H28" s="6">
        <v>0</v>
      </c>
      <c r="I28" s="4" t="s">
        <v>101</v>
      </c>
    </row>
    <row r="29" spans="1:9" x14ac:dyDescent="0.25">
      <c r="A29" s="4">
        <v>10</v>
      </c>
      <c r="B29" s="4" t="s">
        <v>102</v>
      </c>
      <c r="C29" s="4" t="s">
        <v>103</v>
      </c>
      <c r="D29" s="5">
        <v>2</v>
      </c>
      <c r="E29" s="4" t="s">
        <v>11</v>
      </c>
      <c r="F29" s="4" t="s">
        <v>61</v>
      </c>
      <c r="G29" s="4" t="s">
        <v>104</v>
      </c>
      <c r="H29" s="6">
        <v>0</v>
      </c>
      <c r="I29" s="4" t="s">
        <v>105</v>
      </c>
    </row>
    <row r="30" spans="1:9" ht="30" x14ac:dyDescent="0.25">
      <c r="A30" s="4">
        <v>10</v>
      </c>
      <c r="B30" s="4" t="s">
        <v>102</v>
      </c>
      <c r="C30" s="4" t="s">
        <v>106</v>
      </c>
      <c r="D30" s="5">
        <v>1</v>
      </c>
      <c r="E30" s="4" t="s">
        <v>11</v>
      </c>
      <c r="F30" s="4" t="s">
        <v>61</v>
      </c>
      <c r="G30" s="4" t="s">
        <v>107</v>
      </c>
      <c r="H30" s="6">
        <v>0</v>
      </c>
      <c r="I30" s="4" t="s">
        <v>108</v>
      </c>
    </row>
    <row r="31" spans="1:9" x14ac:dyDescent="0.25">
      <c r="A31" s="4">
        <v>10</v>
      </c>
      <c r="B31" s="4" t="s">
        <v>102</v>
      </c>
      <c r="C31" s="4" t="s">
        <v>109</v>
      </c>
      <c r="D31" s="5">
        <v>2</v>
      </c>
      <c r="E31" s="4" t="s">
        <v>11</v>
      </c>
      <c r="F31" s="4" t="s">
        <v>61</v>
      </c>
      <c r="G31" s="4" t="s">
        <v>110</v>
      </c>
      <c r="H31" s="6">
        <v>0</v>
      </c>
      <c r="I31" s="4" t="s">
        <v>111</v>
      </c>
    </row>
    <row r="32" spans="1:9" x14ac:dyDescent="0.25">
      <c r="A32" s="4">
        <v>10</v>
      </c>
      <c r="B32" s="4" t="s">
        <v>102</v>
      </c>
      <c r="C32" s="4" t="s">
        <v>112</v>
      </c>
      <c r="D32" s="5">
        <v>1</v>
      </c>
      <c r="E32" s="4" t="s">
        <v>11</v>
      </c>
      <c r="F32" s="4" t="s">
        <v>61</v>
      </c>
      <c r="G32" s="4" t="s">
        <v>113</v>
      </c>
      <c r="H32" s="6">
        <v>0</v>
      </c>
      <c r="I32" s="4" t="s">
        <v>114</v>
      </c>
    </row>
    <row r="33" spans="1:9" x14ac:dyDescent="0.25">
      <c r="A33" s="4">
        <v>11</v>
      </c>
      <c r="B33" s="4" t="s">
        <v>115</v>
      </c>
      <c r="C33" s="4" t="s">
        <v>116</v>
      </c>
      <c r="D33" s="5">
        <v>2</v>
      </c>
      <c r="E33" s="4" t="s">
        <v>11</v>
      </c>
      <c r="F33" s="4" t="s">
        <v>12</v>
      </c>
      <c r="G33" s="4" t="s">
        <v>117</v>
      </c>
      <c r="H33" s="6">
        <v>0</v>
      </c>
      <c r="I33" s="4" t="s">
        <v>118</v>
      </c>
    </row>
    <row r="34" spans="1:9" x14ac:dyDescent="0.25">
      <c r="A34" s="4">
        <v>11</v>
      </c>
      <c r="B34" s="4" t="s">
        <v>115</v>
      </c>
      <c r="C34" s="4" t="s">
        <v>119</v>
      </c>
      <c r="D34" s="5">
        <v>2</v>
      </c>
      <c r="E34" s="4" t="s">
        <v>11</v>
      </c>
      <c r="F34" s="4" t="s">
        <v>61</v>
      </c>
      <c r="G34" s="4" t="s">
        <v>120</v>
      </c>
      <c r="H34" s="6">
        <v>0</v>
      </c>
      <c r="I34" s="4" t="s">
        <v>121</v>
      </c>
    </row>
    <row r="35" spans="1:9" x14ac:dyDescent="0.25">
      <c r="A35" s="4">
        <v>11</v>
      </c>
      <c r="B35" s="4" t="s">
        <v>115</v>
      </c>
      <c r="C35" s="4" t="s">
        <v>122</v>
      </c>
      <c r="D35" s="5">
        <v>1</v>
      </c>
      <c r="E35" s="4" t="s">
        <v>11</v>
      </c>
      <c r="F35" s="4" t="s">
        <v>12</v>
      </c>
      <c r="G35" s="4" t="s">
        <v>123</v>
      </c>
      <c r="H35" s="6">
        <v>0</v>
      </c>
      <c r="I35" s="4" t="s">
        <v>124</v>
      </c>
    </row>
  </sheetData>
  <conditionalFormatting sqref="E2:E35">
    <cfRule type="expression" dxfId="3" priority="1">
      <formula>E2="Done"</formula>
    </cfRule>
    <cfRule type="expression" dxfId="2" priority="2">
      <formula>E2="In Progress"</formula>
    </cfRule>
    <cfRule type="expression" dxfId="1" priority="3">
      <formula>E2="Blocked"</formula>
    </cfRule>
    <cfRule type="expression" dxfId="0" priority="4">
      <formula>E2="Testing"</formula>
    </cfRule>
  </conditionalFormatting>
  <conditionalFormatting sqref="H2:H35">
    <cfRule type="dataBar" priority="5">
      <dataBar>
        <cfvo type="min"/>
        <cfvo type="max"/>
        <color rgb="FF156082"/>
      </dataBar>
    </cfRule>
    <cfRule type="dataBar" priority="6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{3843177C-0C60-24CB-47EF-F8FEF49EDBB5}</x14:id>
        </ext>
      </extLst>
    </cfRule>
  </conditionalFormatting>
  <dataValidations count="3">
    <dataValidation type="list" sqref="E2:E35" xr:uid="{00000000-0002-0000-0000-000000000000}">
      <formula1>"Not Started,In Progress,Blocked,Testing,Done"</formula1>
    </dataValidation>
    <dataValidation type="list" sqref="F2:F35" xr:uid="{00000000-0002-0000-0000-000001000000}">
      <formula1>"High,Medium,Low"</formula1>
    </dataValidation>
    <dataValidation type="decimal" sqref="H2:H35" xr:uid="{00000000-0002-0000-0000-000002000000}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43177C-0C60-24CB-47EF-F8FEF49EDBB5}">
            <x14:dataBar>
              <x14:cfvo type="min"/>
              <x14:cfvo type="max"/>
              <x14:negativeFillColor auto="1"/>
              <x14:axisColor auto="1"/>
            </x14:dataBar>
          </x14:cfRule>
          <xm:sqref>H2:H35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5" x14ac:dyDescent="0.25"/>
  <cols>
    <col min="1" max="1" width="25" customWidth="1"/>
    <col min="2" max="2" width="18" customWidth="1"/>
    <col min="4" max="4" width="9" customWidth="1"/>
    <col min="5" max="5" width="24" customWidth="1"/>
    <col min="6" max="6" width="12" customWidth="1"/>
    <col min="7" max="7" width="32" customWidth="1"/>
  </cols>
  <sheetData>
    <row r="1" spans="1:8" ht="30" customHeight="1" x14ac:dyDescent="0.25">
      <c r="A1" s="10" t="s">
        <v>125</v>
      </c>
      <c r="B1" s="10"/>
      <c r="C1" s="10"/>
      <c r="D1" s="10"/>
      <c r="E1" s="10"/>
      <c r="F1" s="10"/>
      <c r="G1" s="10"/>
      <c r="H1" s="10"/>
    </row>
    <row r="3" spans="1:8" x14ac:dyDescent="0.25">
      <c r="A3" s="7" t="s">
        <v>126</v>
      </c>
      <c r="B3" s="7" t="s">
        <v>127</v>
      </c>
      <c r="D3" s="9" t="s">
        <v>0</v>
      </c>
      <c r="E3" s="9" t="s">
        <v>1</v>
      </c>
      <c r="F3" s="9" t="s">
        <v>3</v>
      </c>
      <c r="G3" s="9" t="s">
        <v>128</v>
      </c>
    </row>
    <row r="4" spans="1:8" x14ac:dyDescent="0.25">
      <c r="A4" s="3" t="s">
        <v>129</v>
      </c>
      <c r="B4" s="3">
        <f>COUNTA('Implementation Plan'!C2:C35)</f>
        <v>34</v>
      </c>
      <c r="D4" s="3">
        <v>0</v>
      </c>
      <c r="E4" s="3" t="s">
        <v>9</v>
      </c>
      <c r="F4" s="3">
        <v>2</v>
      </c>
      <c r="G4" s="3" t="s">
        <v>130</v>
      </c>
    </row>
    <row r="5" spans="1:8" x14ac:dyDescent="0.25">
      <c r="A5" s="3" t="s">
        <v>131</v>
      </c>
      <c r="B5" s="3">
        <f>SUM('Implementation Plan'!D2:D35)</f>
        <v>53</v>
      </c>
      <c r="D5" s="3">
        <v>1</v>
      </c>
      <c r="E5" s="3" t="s">
        <v>15</v>
      </c>
      <c r="F5" s="3">
        <v>4</v>
      </c>
      <c r="G5" s="3" t="s">
        <v>132</v>
      </c>
    </row>
    <row r="6" spans="1:8" x14ac:dyDescent="0.25">
      <c r="A6" s="3" t="s">
        <v>133</v>
      </c>
      <c r="B6" s="3">
        <f>COUNTIF('Implementation Plan'!E2:E35,"Done")</f>
        <v>7</v>
      </c>
      <c r="D6" s="3">
        <v>2</v>
      </c>
      <c r="E6" s="3" t="s">
        <v>22</v>
      </c>
      <c r="F6" s="3">
        <v>4</v>
      </c>
      <c r="G6" s="3" t="s">
        <v>134</v>
      </c>
    </row>
    <row r="7" spans="1:8" x14ac:dyDescent="0.25">
      <c r="A7" s="3" t="s">
        <v>135</v>
      </c>
      <c r="B7" s="8">
        <f>AVERAGE('Implementation Plan'!H2:H35)</f>
        <v>2.9411764705882353E-2</v>
      </c>
      <c r="D7" s="3">
        <v>3</v>
      </c>
      <c r="E7" s="3" t="s">
        <v>29</v>
      </c>
      <c r="F7" s="3">
        <v>4</v>
      </c>
      <c r="G7" s="3" t="s">
        <v>136</v>
      </c>
    </row>
    <row r="8" spans="1:8" x14ac:dyDescent="0.25">
      <c r="D8" s="3">
        <v>4</v>
      </c>
      <c r="E8" s="3" t="s">
        <v>39</v>
      </c>
      <c r="F8" s="3">
        <v>3</v>
      </c>
      <c r="G8" s="3" t="s">
        <v>137</v>
      </c>
    </row>
    <row r="9" spans="1:8" x14ac:dyDescent="0.25">
      <c r="D9" s="3">
        <v>5</v>
      </c>
      <c r="E9" s="3" t="s">
        <v>46</v>
      </c>
      <c r="F9" s="3">
        <v>5</v>
      </c>
      <c r="G9" s="3" t="s">
        <v>138</v>
      </c>
    </row>
    <row r="10" spans="1:8" x14ac:dyDescent="0.25">
      <c r="D10" s="3">
        <v>6</v>
      </c>
      <c r="E10" s="3" t="s">
        <v>59</v>
      </c>
      <c r="F10" s="3">
        <v>2</v>
      </c>
      <c r="G10" s="3" t="s">
        <v>139</v>
      </c>
    </row>
    <row r="11" spans="1:8" x14ac:dyDescent="0.25">
      <c r="D11" s="3">
        <v>7</v>
      </c>
      <c r="E11" s="3" t="s">
        <v>67</v>
      </c>
      <c r="F11" s="3">
        <v>6</v>
      </c>
      <c r="G11" s="3" t="s">
        <v>140</v>
      </c>
    </row>
    <row r="12" spans="1:8" x14ac:dyDescent="0.25">
      <c r="D12" s="3">
        <v>8</v>
      </c>
      <c r="E12" s="3" t="s">
        <v>76</v>
      </c>
      <c r="F12" s="3">
        <v>5</v>
      </c>
      <c r="G12" s="3" t="s">
        <v>141</v>
      </c>
    </row>
    <row r="13" spans="1:8" x14ac:dyDescent="0.25">
      <c r="D13" s="3">
        <v>9</v>
      </c>
      <c r="E13" s="3" t="s">
        <v>86</v>
      </c>
      <c r="F13" s="3">
        <v>7</v>
      </c>
      <c r="G13" s="3" t="s">
        <v>142</v>
      </c>
    </row>
    <row r="14" spans="1:8" x14ac:dyDescent="0.25">
      <c r="D14" s="3">
        <v>10</v>
      </c>
      <c r="E14" s="3" t="s">
        <v>102</v>
      </c>
      <c r="F14" s="3">
        <v>6</v>
      </c>
      <c r="G14" s="3" t="s">
        <v>143</v>
      </c>
    </row>
    <row r="15" spans="1:8" x14ac:dyDescent="0.25">
      <c r="D15" s="3">
        <v>11</v>
      </c>
      <c r="E15" s="3" t="s">
        <v>115</v>
      </c>
      <c r="F15" s="3">
        <v>5</v>
      </c>
      <c r="G15" s="3" t="s">
        <v>144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" x14ac:dyDescent="0.25"/>
  <cols>
    <col min="1" max="1" width="24" customWidth="1"/>
    <col min="2" max="2" width="80" customWidth="1"/>
  </cols>
  <sheetData>
    <row r="1" spans="1:2" x14ac:dyDescent="0.25">
      <c r="A1" s="1" t="s">
        <v>145</v>
      </c>
      <c r="B1" s="1" t="s">
        <v>146</v>
      </c>
    </row>
    <row r="2" spans="1:2" x14ac:dyDescent="0.25">
      <c r="A2" s="3" t="s">
        <v>147</v>
      </c>
      <c r="B2" s="3" t="s">
        <v>148</v>
      </c>
    </row>
    <row r="3" spans="1:2" x14ac:dyDescent="0.25">
      <c r="A3" s="3" t="s">
        <v>149</v>
      </c>
      <c r="B3" s="3" t="s">
        <v>150</v>
      </c>
    </row>
    <row r="4" spans="1:2" x14ac:dyDescent="0.25">
      <c r="A4" s="3" t="s">
        <v>151</v>
      </c>
      <c r="B4" s="3" t="s">
        <v>152</v>
      </c>
    </row>
    <row r="5" spans="1:2" x14ac:dyDescent="0.25">
      <c r="A5" s="3" t="s">
        <v>153</v>
      </c>
      <c r="B5" s="3" t="s">
        <v>154</v>
      </c>
    </row>
    <row r="6" spans="1:2" x14ac:dyDescent="0.25">
      <c r="A6" s="3" t="s">
        <v>155</v>
      </c>
      <c r="B6" s="3" t="s">
        <v>156</v>
      </c>
    </row>
    <row r="7" spans="1:2" x14ac:dyDescent="0.25">
      <c r="A7" s="3" t="s">
        <v>157</v>
      </c>
      <c r="B7" s="3" t="s">
        <v>158</v>
      </c>
    </row>
    <row r="8" spans="1:2" x14ac:dyDescent="0.25">
      <c r="A8" s="3" t="s">
        <v>159</v>
      </c>
      <c r="B8" s="3" t="s">
        <v>160</v>
      </c>
    </row>
    <row r="9" spans="1:2" x14ac:dyDescent="0.25">
      <c r="A9" s="3" t="s">
        <v>161</v>
      </c>
      <c r="B9" s="3" t="s">
        <v>162</v>
      </c>
    </row>
    <row r="10" spans="1:2" x14ac:dyDescent="0.25">
      <c r="A10" s="3" t="s">
        <v>163</v>
      </c>
      <c r="B10" s="3" t="s">
        <v>164</v>
      </c>
    </row>
    <row r="11" spans="1:2" x14ac:dyDescent="0.25">
      <c r="A11" s="3" t="s">
        <v>165</v>
      </c>
      <c r="B11" s="3" t="s">
        <v>166</v>
      </c>
    </row>
    <row r="12" spans="1:2" x14ac:dyDescent="0.25">
      <c r="A12" s="3" t="s">
        <v>167</v>
      </c>
      <c r="B12" s="3" t="s">
        <v>168</v>
      </c>
    </row>
    <row r="13" spans="1:2" x14ac:dyDescent="0.25">
      <c r="A13" s="3" t="s">
        <v>169</v>
      </c>
      <c r="B13" s="3" t="s">
        <v>170</v>
      </c>
    </row>
    <row r="14" spans="1:2" x14ac:dyDescent="0.25">
      <c r="A14" s="3" t="s">
        <v>171</v>
      </c>
      <c r="B14" s="3" t="s">
        <v>172</v>
      </c>
    </row>
    <row r="15" spans="1:2" x14ac:dyDescent="0.25">
      <c r="A15" s="3" t="s">
        <v>173</v>
      </c>
      <c r="B15" s="3" t="s">
        <v>174</v>
      </c>
    </row>
    <row r="16" spans="1:2" x14ac:dyDescent="0.25">
      <c r="A16" s="3" t="s">
        <v>59</v>
      </c>
      <c r="B16" s="3" t="s">
        <v>175</v>
      </c>
    </row>
    <row r="17" spans="1:2" x14ac:dyDescent="0.25">
      <c r="A17" s="3" t="s">
        <v>176</v>
      </c>
      <c r="B17" s="3" t="s">
        <v>177</v>
      </c>
    </row>
    <row r="18" spans="1:2" x14ac:dyDescent="0.25">
      <c r="A18" s="3" t="s">
        <v>178</v>
      </c>
      <c r="B18" s="3" t="s">
        <v>179</v>
      </c>
    </row>
    <row r="19" spans="1:2" x14ac:dyDescent="0.25">
      <c r="A19" s="3" t="s">
        <v>180</v>
      </c>
      <c r="B19" s="3" t="s">
        <v>181</v>
      </c>
    </row>
    <row r="20" spans="1:2" x14ac:dyDescent="0.25">
      <c r="A20" s="3" t="s">
        <v>182</v>
      </c>
      <c r="B20" s="3" t="s">
        <v>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Plan</vt:lpstr>
      <vt:lpstr>Dashboard</vt:lpstr>
      <vt:lpstr>Design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Dang</cp:lastModifiedBy>
  <dcterms:modified xsi:type="dcterms:W3CDTF">2026-10-13T18:09:15Z</dcterms:modified>
</cp:coreProperties>
</file>